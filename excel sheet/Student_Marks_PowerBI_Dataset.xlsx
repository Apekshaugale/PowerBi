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rks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9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9" fontId="3" fillId="4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164" fontId="4" fillId="0" borderId="2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19" customWidth="1" min="11" max="11"/>
    <col width="22" customWidth="1" min="12" max="12"/>
  </cols>
  <sheetData>
    <row r="1" ht="35" customHeight="1">
      <c r="A1" s="1" t="inlineStr">
        <is>
          <t>Student Performance Analytics Dataset (For Power BI)</t>
        </is>
      </c>
    </row>
    <row r="2"/>
    <row r="3" ht="26" customHeight="1">
      <c r="A3" s="2" t="inlineStr">
        <is>
          <t>Student ID</t>
        </is>
      </c>
      <c r="B3" s="2" t="inlineStr">
        <is>
          <t>Student Name</t>
        </is>
      </c>
      <c r="C3" s="2" t="inlineStr">
        <is>
          <t>Gender</t>
        </is>
      </c>
      <c r="D3" s="2" t="inlineStr">
        <is>
          <t>Grade Level</t>
        </is>
      </c>
      <c r="E3" s="2" t="inlineStr">
        <is>
          <t>Math Score</t>
        </is>
      </c>
      <c r="F3" s="2" t="inlineStr">
        <is>
          <t>Science Score</t>
        </is>
      </c>
      <c r="G3" s="2" t="inlineStr">
        <is>
          <t>English Score</t>
        </is>
      </c>
      <c r="H3" s="2" t="inlineStr">
        <is>
          <t>History Score</t>
        </is>
      </c>
      <c r="I3" s="2" t="inlineStr">
        <is>
          <t>Total Score</t>
        </is>
      </c>
      <c r="J3" s="2" t="inlineStr">
        <is>
          <t>Average Score</t>
        </is>
      </c>
      <c r="K3" s="2" t="inlineStr">
        <is>
          <t>Attendance Rate</t>
        </is>
      </c>
      <c r="L3" s="2" t="inlineStr">
        <is>
          <t>Study Hours / Week</t>
        </is>
      </c>
    </row>
    <row r="4" ht="20" customHeight="1">
      <c r="A4" s="3" t="inlineStr">
        <is>
          <t>STU1001</t>
        </is>
      </c>
      <c r="B4" s="4" t="inlineStr">
        <is>
          <t>Aarav Sharma</t>
        </is>
      </c>
      <c r="C4" s="3" t="inlineStr">
        <is>
          <t>Male</t>
        </is>
      </c>
      <c r="D4" s="3" t="inlineStr">
        <is>
          <t>Grade 10</t>
        </is>
      </c>
      <c r="E4" s="5" t="n">
        <v>85</v>
      </c>
      <c r="F4" s="5" t="n">
        <v>90</v>
      </c>
      <c r="G4" s="5" t="n">
        <v>78</v>
      </c>
      <c r="H4" s="5" t="n">
        <v>82</v>
      </c>
      <c r="I4" s="5">
        <f>SUM(E4:H4)</f>
        <v/>
      </c>
      <c r="J4" s="6">
        <f>AVERAGE(E4:H4)</f>
        <v/>
      </c>
      <c r="K4" s="7" t="n">
        <v>0.95</v>
      </c>
      <c r="L4" s="5" t="n">
        <v>14</v>
      </c>
    </row>
    <row r="5" ht="20" customHeight="1">
      <c r="A5" s="8" t="inlineStr">
        <is>
          <t>STU1002</t>
        </is>
      </c>
      <c r="B5" s="9" t="inlineStr">
        <is>
          <t>Ananya Patel</t>
        </is>
      </c>
      <c r="C5" s="8" t="inlineStr">
        <is>
          <t>Female</t>
        </is>
      </c>
      <c r="D5" s="8" t="inlineStr">
        <is>
          <t>Grade 10</t>
        </is>
      </c>
      <c r="E5" s="10" t="n">
        <v>92</v>
      </c>
      <c r="F5" s="10" t="n">
        <v>95</v>
      </c>
      <c r="G5" s="10" t="n">
        <v>88</v>
      </c>
      <c r="H5" s="10" t="n">
        <v>91</v>
      </c>
      <c r="I5" s="10">
        <f>SUM(E5:H5)</f>
        <v/>
      </c>
      <c r="J5" s="11">
        <f>AVERAGE(E5:H5)</f>
        <v/>
      </c>
      <c r="K5" s="12" t="n">
        <v>0.98</v>
      </c>
      <c r="L5" s="10" t="n">
        <v>18</v>
      </c>
    </row>
    <row r="6" ht="20" customHeight="1">
      <c r="A6" s="3" t="inlineStr">
        <is>
          <t>STU1003</t>
        </is>
      </c>
      <c r="B6" s="4" t="inlineStr">
        <is>
          <t>Rohan Verma</t>
        </is>
      </c>
      <c r="C6" s="3" t="inlineStr">
        <is>
          <t>Male</t>
        </is>
      </c>
      <c r="D6" s="3" t="inlineStr">
        <is>
          <t>Grade 11</t>
        </is>
      </c>
      <c r="E6" s="5" t="n">
        <v>65</v>
      </c>
      <c r="F6" s="5" t="n">
        <v>70</v>
      </c>
      <c r="G6" s="5" t="n">
        <v>60</v>
      </c>
      <c r="H6" s="5" t="n">
        <v>68</v>
      </c>
      <c r="I6" s="5">
        <f>SUM(E6:H6)</f>
        <v/>
      </c>
      <c r="J6" s="6">
        <f>AVERAGE(E6:H6)</f>
        <v/>
      </c>
      <c r="K6" s="7" t="n">
        <v>0.82</v>
      </c>
      <c r="L6" s="5" t="n">
        <v>9</v>
      </c>
    </row>
    <row r="7" ht="20" customHeight="1">
      <c r="A7" s="8" t="inlineStr">
        <is>
          <t>STU1004</t>
        </is>
      </c>
      <c r="B7" s="9" t="inlineStr">
        <is>
          <t>Priya Singh</t>
        </is>
      </c>
      <c r="C7" s="8" t="inlineStr">
        <is>
          <t>Female</t>
        </is>
      </c>
      <c r="D7" s="8" t="inlineStr">
        <is>
          <t>Grade 11</t>
        </is>
      </c>
      <c r="E7" s="10" t="n">
        <v>78</v>
      </c>
      <c r="F7" s="10" t="n">
        <v>81</v>
      </c>
      <c r="G7" s="10" t="n">
        <v>85</v>
      </c>
      <c r="H7" s="10" t="n">
        <v>80</v>
      </c>
      <c r="I7" s="10">
        <f>SUM(E7:H7)</f>
        <v/>
      </c>
      <c r="J7" s="11">
        <f>AVERAGE(E7:H7)</f>
        <v/>
      </c>
      <c r="K7" s="12" t="n">
        <v>0.9</v>
      </c>
      <c r="L7" s="10" t="n">
        <v>12</v>
      </c>
    </row>
    <row r="8" ht="20" customHeight="1">
      <c r="A8" s="3" t="inlineStr">
        <is>
          <t>STU1005</t>
        </is>
      </c>
      <c r="B8" s="4" t="inlineStr">
        <is>
          <t>Vikram Reddy</t>
        </is>
      </c>
      <c r="C8" s="3" t="inlineStr">
        <is>
          <t>Male</t>
        </is>
      </c>
      <c r="D8" s="3" t="inlineStr">
        <is>
          <t>Grade 12</t>
        </is>
      </c>
      <c r="E8" s="5" t="n">
        <v>88</v>
      </c>
      <c r="F8" s="5" t="n">
        <v>84</v>
      </c>
      <c r="G8" s="5" t="n">
        <v>79</v>
      </c>
      <c r="H8" s="5" t="n">
        <v>85</v>
      </c>
      <c r="I8" s="5">
        <f>SUM(E8:H8)</f>
        <v/>
      </c>
      <c r="J8" s="6">
        <f>AVERAGE(E8:H8)</f>
        <v/>
      </c>
      <c r="K8" s="7" t="n">
        <v>0.92</v>
      </c>
      <c r="L8" s="5" t="n">
        <v>15</v>
      </c>
    </row>
    <row r="9" ht="20" customHeight="1">
      <c r="A9" s="8" t="inlineStr">
        <is>
          <t>STU1006</t>
        </is>
      </c>
      <c r="B9" s="9" t="inlineStr">
        <is>
          <t>Diya Nair</t>
        </is>
      </c>
      <c r="C9" s="8" t="inlineStr">
        <is>
          <t>Female</t>
        </is>
      </c>
      <c r="D9" s="8" t="inlineStr">
        <is>
          <t>Grade 12</t>
        </is>
      </c>
      <c r="E9" s="10" t="n">
        <v>95</v>
      </c>
      <c r="F9" s="10" t="n">
        <v>98</v>
      </c>
      <c r="G9" s="10" t="n">
        <v>92</v>
      </c>
      <c r="H9" s="10" t="n">
        <v>94</v>
      </c>
      <c r="I9" s="10">
        <f>SUM(E9:H9)</f>
        <v/>
      </c>
      <c r="J9" s="11">
        <f>AVERAGE(E9:H9)</f>
        <v/>
      </c>
      <c r="K9" s="12" t="n">
        <v>0.99</v>
      </c>
      <c r="L9" s="10" t="n">
        <v>20</v>
      </c>
    </row>
    <row r="10" ht="20" customHeight="1">
      <c r="A10" s="3" t="inlineStr">
        <is>
          <t>STU1007</t>
        </is>
      </c>
      <c r="B10" s="4" t="inlineStr">
        <is>
          <t>Kabir Mehta</t>
        </is>
      </c>
      <c r="C10" s="3" t="inlineStr">
        <is>
          <t>Male</t>
        </is>
      </c>
      <c r="D10" s="3" t="inlineStr">
        <is>
          <t>Grade 10</t>
        </is>
      </c>
      <c r="E10" s="5" t="n">
        <v>55</v>
      </c>
      <c r="F10" s="5" t="n">
        <v>58</v>
      </c>
      <c r="G10" s="5" t="n">
        <v>62</v>
      </c>
      <c r="H10" s="5" t="n">
        <v>50</v>
      </c>
      <c r="I10" s="5">
        <f>SUM(E10:H10)</f>
        <v/>
      </c>
      <c r="J10" s="6">
        <f>AVERAGE(E10:H10)</f>
        <v/>
      </c>
      <c r="K10" s="7" t="n">
        <v>0.75</v>
      </c>
      <c r="L10" s="5" t="n">
        <v>6</v>
      </c>
    </row>
    <row r="11" ht="20" customHeight="1">
      <c r="A11" s="8" t="inlineStr">
        <is>
          <t>STU1008</t>
        </is>
      </c>
      <c r="B11" s="9" t="inlineStr">
        <is>
          <t>Sanya Gupta</t>
        </is>
      </c>
      <c r="C11" s="8" t="inlineStr">
        <is>
          <t>Female</t>
        </is>
      </c>
      <c r="D11" s="8" t="inlineStr">
        <is>
          <t>Grade 10</t>
        </is>
      </c>
      <c r="E11" s="10" t="n">
        <v>72</v>
      </c>
      <c r="F11" s="10" t="n">
        <v>75</v>
      </c>
      <c r="G11" s="10" t="n">
        <v>80</v>
      </c>
      <c r="H11" s="10" t="n">
        <v>74</v>
      </c>
      <c r="I11" s="10">
        <f>SUM(E11:H11)</f>
        <v/>
      </c>
      <c r="J11" s="11">
        <f>AVERAGE(E11:H11)</f>
        <v/>
      </c>
      <c r="K11" s="12" t="n">
        <v>0.88</v>
      </c>
      <c r="L11" s="10" t="n">
        <v>11</v>
      </c>
    </row>
    <row r="12" ht="20" customHeight="1">
      <c r="A12" s="3" t="inlineStr">
        <is>
          <t>STU1009</t>
        </is>
      </c>
      <c r="B12" s="4" t="inlineStr">
        <is>
          <t>Aditya Joshi</t>
        </is>
      </c>
      <c r="C12" s="3" t="inlineStr">
        <is>
          <t>Male</t>
        </is>
      </c>
      <c r="D12" s="3" t="inlineStr">
        <is>
          <t>Grade 11</t>
        </is>
      </c>
      <c r="E12" s="5" t="n">
        <v>81</v>
      </c>
      <c r="F12" s="5" t="n">
        <v>85</v>
      </c>
      <c r="G12" s="5" t="n">
        <v>76</v>
      </c>
      <c r="H12" s="5" t="n">
        <v>79</v>
      </c>
      <c r="I12" s="5">
        <f>SUM(E12:H12)</f>
        <v/>
      </c>
      <c r="J12" s="6">
        <f>AVERAGE(E12:H12)</f>
        <v/>
      </c>
      <c r="K12" s="7" t="n">
        <v>0.91</v>
      </c>
      <c r="L12" s="5" t="n">
        <v>13</v>
      </c>
    </row>
    <row r="13" ht="20" customHeight="1">
      <c r="A13" s="8" t="inlineStr">
        <is>
          <t>STU1010</t>
        </is>
      </c>
      <c r="B13" s="9" t="inlineStr">
        <is>
          <t>Isha Rao</t>
        </is>
      </c>
      <c r="C13" s="8" t="inlineStr">
        <is>
          <t>Female</t>
        </is>
      </c>
      <c r="D13" s="8" t="inlineStr">
        <is>
          <t>Grade 11</t>
        </is>
      </c>
      <c r="E13" s="10" t="n">
        <v>90</v>
      </c>
      <c r="F13" s="10" t="n">
        <v>92</v>
      </c>
      <c r="G13" s="10" t="n">
        <v>94</v>
      </c>
      <c r="H13" s="10" t="n">
        <v>89</v>
      </c>
      <c r="I13" s="10">
        <f>SUM(E13:H13)</f>
        <v/>
      </c>
      <c r="J13" s="11">
        <f>AVERAGE(E13:H13)</f>
        <v/>
      </c>
      <c r="K13" s="12" t="n">
        <v>0.96</v>
      </c>
      <c r="L13" s="10" t="n">
        <v>17</v>
      </c>
    </row>
    <row r="14" ht="20" customHeight="1">
      <c r="A14" s="3" t="inlineStr">
        <is>
          <t>STU1011</t>
        </is>
      </c>
      <c r="B14" s="4" t="inlineStr">
        <is>
          <t>Arjun Kapoor</t>
        </is>
      </c>
      <c r="C14" s="3" t="inlineStr">
        <is>
          <t>Male</t>
        </is>
      </c>
      <c r="D14" s="3" t="inlineStr">
        <is>
          <t>Grade 12</t>
        </is>
      </c>
      <c r="E14" s="5" t="n">
        <v>62</v>
      </c>
      <c r="F14" s="5" t="n">
        <v>60</v>
      </c>
      <c r="G14" s="5" t="n">
        <v>65</v>
      </c>
      <c r="H14" s="5" t="n">
        <v>58</v>
      </c>
      <c r="I14" s="5">
        <f>SUM(E14:H14)</f>
        <v/>
      </c>
      <c r="J14" s="6">
        <f>AVERAGE(E14:H14)</f>
        <v/>
      </c>
      <c r="K14" s="7" t="n">
        <v>0.8</v>
      </c>
      <c r="L14" s="5" t="n">
        <v>8</v>
      </c>
    </row>
    <row r="15" ht="20" customHeight="1">
      <c r="A15" s="8" t="inlineStr">
        <is>
          <t>STU1012</t>
        </is>
      </c>
      <c r="B15" s="9" t="inlineStr">
        <is>
          <t>Riya Sen</t>
        </is>
      </c>
      <c r="C15" s="8" t="inlineStr">
        <is>
          <t>Female</t>
        </is>
      </c>
      <c r="D15" s="8" t="inlineStr">
        <is>
          <t>Grade 12</t>
        </is>
      </c>
      <c r="E15" s="10" t="n">
        <v>86</v>
      </c>
      <c r="F15" s="10" t="n">
        <v>88</v>
      </c>
      <c r="G15" s="10" t="n">
        <v>90</v>
      </c>
      <c r="H15" s="10" t="n">
        <v>84</v>
      </c>
      <c r="I15" s="10">
        <f>SUM(E15:H15)</f>
        <v/>
      </c>
      <c r="J15" s="11">
        <f>AVERAGE(E15:H15)</f>
        <v/>
      </c>
      <c r="K15" s="12" t="n">
        <v>0.93</v>
      </c>
      <c r="L15" s="10" t="n">
        <v>16</v>
      </c>
    </row>
    <row r="16" ht="20" customHeight="1">
      <c r="A16" s="3" t="inlineStr">
        <is>
          <t>STU1013</t>
        </is>
      </c>
      <c r="B16" s="4" t="inlineStr">
        <is>
          <t>Siddharth Das</t>
        </is>
      </c>
      <c r="C16" s="3" t="inlineStr">
        <is>
          <t>Male</t>
        </is>
      </c>
      <c r="D16" s="3" t="inlineStr">
        <is>
          <t>Grade 10</t>
        </is>
      </c>
      <c r="E16" s="5" t="n">
        <v>74</v>
      </c>
      <c r="F16" s="5" t="n">
        <v>78</v>
      </c>
      <c r="G16" s="5" t="n">
        <v>70</v>
      </c>
      <c r="H16" s="5" t="n">
        <v>72</v>
      </c>
      <c r="I16" s="5">
        <f>SUM(E16:H16)</f>
        <v/>
      </c>
      <c r="J16" s="6">
        <f>AVERAGE(E16:H16)</f>
        <v/>
      </c>
      <c r="K16" s="7" t="n">
        <v>0.87</v>
      </c>
      <c r="L16" s="5" t="n">
        <v>10</v>
      </c>
    </row>
    <row r="17" ht="20" customHeight="1">
      <c r="A17" s="8" t="inlineStr">
        <is>
          <t>STU1014</t>
        </is>
      </c>
      <c r="B17" s="9" t="inlineStr">
        <is>
          <t>Tanvi Bhat</t>
        </is>
      </c>
      <c r="C17" s="8" t="inlineStr">
        <is>
          <t>Female</t>
        </is>
      </c>
      <c r="D17" s="8" t="inlineStr">
        <is>
          <t>Grade 10</t>
        </is>
      </c>
      <c r="E17" s="10" t="n">
        <v>89</v>
      </c>
      <c r="F17" s="10" t="n">
        <v>91</v>
      </c>
      <c r="G17" s="10" t="n">
        <v>87</v>
      </c>
      <c r="H17" s="10" t="n">
        <v>88</v>
      </c>
      <c r="I17" s="10">
        <f>SUM(E17:H17)</f>
        <v/>
      </c>
      <c r="J17" s="11">
        <f>AVERAGE(E17:H17)</f>
        <v/>
      </c>
      <c r="K17" s="12" t="n">
        <v>0.95</v>
      </c>
      <c r="L17" s="10" t="n">
        <v>15</v>
      </c>
    </row>
    <row r="18" ht="20" customHeight="1">
      <c r="A18" s="3" t="inlineStr">
        <is>
          <t>STU1015</t>
        </is>
      </c>
      <c r="B18" s="4" t="inlineStr">
        <is>
          <t>Varun Saxena</t>
        </is>
      </c>
      <c r="C18" s="3" t="inlineStr">
        <is>
          <t>Male</t>
        </is>
      </c>
      <c r="D18" s="3" t="inlineStr">
        <is>
          <t>Grade 11</t>
        </is>
      </c>
      <c r="E18" s="5" t="n">
        <v>48</v>
      </c>
      <c r="F18" s="5" t="n">
        <v>52</v>
      </c>
      <c r="G18" s="5" t="n">
        <v>55</v>
      </c>
      <c r="H18" s="5" t="n">
        <v>50</v>
      </c>
      <c r="I18" s="5">
        <f>SUM(E18:H18)</f>
        <v/>
      </c>
      <c r="J18" s="6">
        <f>AVERAGE(E18:H18)</f>
        <v/>
      </c>
      <c r="K18" s="7" t="n">
        <v>0.7</v>
      </c>
      <c r="L18" s="5" t="n">
        <v>5</v>
      </c>
    </row>
    <row r="19" ht="20" customHeight="1">
      <c r="A19" s="8" t="inlineStr">
        <is>
          <t>STU1016</t>
        </is>
      </c>
      <c r="B19" s="9" t="inlineStr">
        <is>
          <t>Kavya Menon</t>
        </is>
      </c>
      <c r="C19" s="8" t="inlineStr">
        <is>
          <t>Female</t>
        </is>
      </c>
      <c r="D19" s="8" t="inlineStr">
        <is>
          <t>Grade 11</t>
        </is>
      </c>
      <c r="E19" s="10" t="n">
        <v>94</v>
      </c>
      <c r="F19" s="10" t="n">
        <v>96</v>
      </c>
      <c r="G19" s="10" t="n">
        <v>95</v>
      </c>
      <c r="H19" s="10" t="n">
        <v>93</v>
      </c>
      <c r="I19" s="10">
        <f>SUM(E19:H19)</f>
        <v/>
      </c>
      <c r="J19" s="11">
        <f>AVERAGE(E19:H19)</f>
        <v/>
      </c>
      <c r="K19" s="12" t="n">
        <v>0.99</v>
      </c>
      <c r="L19" s="10" t="n">
        <v>19</v>
      </c>
    </row>
    <row r="20" ht="20" customHeight="1">
      <c r="A20" s="3" t="inlineStr">
        <is>
          <t>STU1017</t>
        </is>
      </c>
      <c r="B20" s="4" t="inlineStr">
        <is>
          <t>Yash Agarwal</t>
        </is>
      </c>
      <c r="C20" s="3" t="inlineStr">
        <is>
          <t>Male</t>
        </is>
      </c>
      <c r="D20" s="3" t="inlineStr">
        <is>
          <t>Grade 12</t>
        </is>
      </c>
      <c r="E20" s="5" t="n">
        <v>79</v>
      </c>
      <c r="F20" s="5" t="n">
        <v>82</v>
      </c>
      <c r="G20" s="5" t="n">
        <v>75</v>
      </c>
      <c r="H20" s="5" t="n">
        <v>78</v>
      </c>
      <c r="I20" s="5">
        <f>SUM(E20:H20)</f>
        <v/>
      </c>
      <c r="J20" s="6">
        <f>AVERAGE(E20:H20)</f>
        <v/>
      </c>
      <c r="K20" s="7" t="n">
        <v>0.89</v>
      </c>
      <c r="L20" s="5" t="n">
        <v>12</v>
      </c>
    </row>
    <row r="21" ht="20" customHeight="1">
      <c r="A21" s="8" t="inlineStr">
        <is>
          <t>STU1018</t>
        </is>
      </c>
      <c r="B21" s="9" t="inlineStr">
        <is>
          <t>Neha Deshmukh</t>
        </is>
      </c>
      <c r="C21" s="8" t="inlineStr">
        <is>
          <t>Female</t>
        </is>
      </c>
      <c r="D21" s="8" t="inlineStr">
        <is>
          <t>Grade 12</t>
        </is>
      </c>
      <c r="E21" s="10" t="n">
        <v>83</v>
      </c>
      <c r="F21" s="10" t="n">
        <v>80</v>
      </c>
      <c r="G21" s="10" t="n">
        <v>86</v>
      </c>
      <c r="H21" s="10" t="n">
        <v>82</v>
      </c>
      <c r="I21" s="10">
        <f>SUM(E21:H21)</f>
        <v/>
      </c>
      <c r="J21" s="11">
        <f>AVERAGE(E21:H21)</f>
        <v/>
      </c>
      <c r="K21" s="12" t="n">
        <v>0.91</v>
      </c>
      <c r="L21" s="10" t="n">
        <v>14</v>
      </c>
    </row>
    <row r="22" ht="20" customHeight="1">
      <c r="A22" s="3" t="inlineStr">
        <is>
          <t>STU1019</t>
        </is>
      </c>
      <c r="B22" s="4" t="inlineStr">
        <is>
          <t>Dev Kumar</t>
        </is>
      </c>
      <c r="C22" s="3" t="inlineStr">
        <is>
          <t>Male</t>
        </is>
      </c>
      <c r="D22" s="3" t="inlineStr">
        <is>
          <t>Grade 10</t>
        </is>
      </c>
      <c r="E22" s="5" t="n">
        <v>68</v>
      </c>
      <c r="F22" s="5" t="n">
        <v>71</v>
      </c>
      <c r="G22" s="5" t="n">
        <v>64</v>
      </c>
      <c r="H22" s="5" t="n">
        <v>66</v>
      </c>
      <c r="I22" s="5">
        <f>SUM(E22:H22)</f>
        <v/>
      </c>
      <c r="J22" s="6">
        <f>AVERAGE(E22:H22)</f>
        <v/>
      </c>
      <c r="K22" s="7" t="n">
        <v>0.84</v>
      </c>
      <c r="L22" s="5" t="n">
        <v>9</v>
      </c>
    </row>
    <row r="23" ht="20" customHeight="1">
      <c r="A23" s="8" t="inlineStr">
        <is>
          <t>STU1020</t>
        </is>
      </c>
      <c r="B23" s="9" t="inlineStr">
        <is>
          <t>Meera Chawla</t>
        </is>
      </c>
      <c r="C23" s="8" t="inlineStr">
        <is>
          <t>Female</t>
        </is>
      </c>
      <c r="D23" s="8" t="inlineStr">
        <is>
          <t>Grade 10</t>
        </is>
      </c>
      <c r="E23" s="10" t="n">
        <v>91</v>
      </c>
      <c r="F23" s="10" t="n">
        <v>89</v>
      </c>
      <c r="G23" s="10" t="n">
        <v>93</v>
      </c>
      <c r="H23" s="10" t="n">
        <v>90</v>
      </c>
      <c r="I23" s="10">
        <f>SUM(E23:H23)</f>
        <v/>
      </c>
      <c r="J23" s="11">
        <f>AVERAGE(E23:H23)</f>
        <v/>
      </c>
      <c r="K23" s="12" t="n">
        <v>0.97</v>
      </c>
      <c r="L23" s="10" t="n">
        <v>17</v>
      </c>
    </row>
    <row r="24" ht="20" customHeight="1">
      <c r="A24" s="3" t="inlineStr">
        <is>
          <t>STU1021</t>
        </is>
      </c>
      <c r="B24" s="4" t="inlineStr">
        <is>
          <t>Karan Malhotra</t>
        </is>
      </c>
      <c r="C24" s="3" t="inlineStr">
        <is>
          <t>Male</t>
        </is>
      </c>
      <c r="D24" s="3" t="inlineStr">
        <is>
          <t>Grade 11</t>
        </is>
      </c>
      <c r="E24" s="5" t="n">
        <v>76</v>
      </c>
      <c r="F24" s="5" t="n">
        <v>79</v>
      </c>
      <c r="G24" s="5" t="n">
        <v>72</v>
      </c>
      <c r="H24" s="5" t="n">
        <v>75</v>
      </c>
      <c r="I24" s="5">
        <f>SUM(E24:H24)</f>
        <v/>
      </c>
      <c r="J24" s="6">
        <f>AVERAGE(E24:H24)</f>
        <v/>
      </c>
      <c r="K24" s="7" t="n">
        <v>0.88</v>
      </c>
      <c r="L24" s="5" t="n">
        <v>11</v>
      </c>
    </row>
    <row r="25" ht="20" customHeight="1">
      <c r="A25" s="8" t="inlineStr">
        <is>
          <t>STU1022</t>
        </is>
      </c>
      <c r="B25" s="9" t="inlineStr">
        <is>
          <t>Pooja Hegde</t>
        </is>
      </c>
      <c r="C25" s="8" t="inlineStr">
        <is>
          <t>Female</t>
        </is>
      </c>
      <c r="D25" s="8" t="inlineStr">
        <is>
          <t>Grade 11</t>
        </is>
      </c>
      <c r="E25" s="10" t="n">
        <v>87</v>
      </c>
      <c r="F25" s="10" t="n">
        <v>85</v>
      </c>
      <c r="G25" s="10" t="n">
        <v>89</v>
      </c>
      <c r="H25" s="10" t="n">
        <v>88</v>
      </c>
      <c r="I25" s="10">
        <f>SUM(E25:H25)</f>
        <v/>
      </c>
      <c r="J25" s="11">
        <f>AVERAGE(E25:H25)</f>
        <v/>
      </c>
      <c r="K25" s="12" t="n">
        <v>0.9399999999999999</v>
      </c>
      <c r="L25" s="10" t="n">
        <v>15</v>
      </c>
    </row>
    <row r="26" ht="20" customHeight="1">
      <c r="A26" s="3" t="inlineStr">
        <is>
          <t>STU1023</t>
        </is>
      </c>
      <c r="B26" s="4" t="inlineStr">
        <is>
          <t>Aman Pandey</t>
        </is>
      </c>
      <c r="C26" s="3" t="inlineStr">
        <is>
          <t>Male</t>
        </is>
      </c>
      <c r="D26" s="3" t="inlineStr">
        <is>
          <t>Grade 12</t>
        </is>
      </c>
      <c r="E26" s="5" t="n">
        <v>58</v>
      </c>
      <c r="F26" s="5" t="n">
        <v>61</v>
      </c>
      <c r="G26" s="5" t="n">
        <v>60</v>
      </c>
      <c r="H26" s="5" t="n">
        <v>55</v>
      </c>
      <c r="I26" s="5">
        <f>SUM(E26:H26)</f>
        <v/>
      </c>
      <c r="J26" s="6">
        <f>AVERAGE(E26:H26)</f>
        <v/>
      </c>
      <c r="K26" s="7" t="n">
        <v>0.78</v>
      </c>
      <c r="L26" s="5" t="n">
        <v>7</v>
      </c>
    </row>
    <row r="27" ht="20" customHeight="1">
      <c r="A27" s="8" t="inlineStr">
        <is>
          <t>STU1024</t>
        </is>
      </c>
      <c r="B27" s="9" t="inlineStr">
        <is>
          <t>Shruti Iyer</t>
        </is>
      </c>
      <c r="C27" s="8" t="inlineStr">
        <is>
          <t>Female</t>
        </is>
      </c>
      <c r="D27" s="8" t="inlineStr">
        <is>
          <t>Grade 12</t>
        </is>
      </c>
      <c r="E27" s="10" t="n">
        <v>96</v>
      </c>
      <c r="F27" s="10" t="n">
        <v>94</v>
      </c>
      <c r="G27" s="10" t="n">
        <v>98</v>
      </c>
      <c r="H27" s="10" t="n">
        <v>95</v>
      </c>
      <c r="I27" s="10">
        <f>SUM(E27:H27)</f>
        <v/>
      </c>
      <c r="J27" s="11">
        <f>AVERAGE(E27:H27)</f>
        <v/>
      </c>
      <c r="K27" s="12" t="n">
        <v>1</v>
      </c>
      <c r="L27" s="10" t="n">
        <v>21</v>
      </c>
    </row>
    <row r="28" ht="20" customHeight="1">
      <c r="A28" s="3" t="inlineStr">
        <is>
          <t>STU1025</t>
        </is>
      </c>
      <c r="B28" s="4" t="inlineStr">
        <is>
          <t>Rahul Roy</t>
        </is>
      </c>
      <c r="C28" s="3" t="inlineStr">
        <is>
          <t>Male</t>
        </is>
      </c>
      <c r="D28" s="3" t="inlineStr">
        <is>
          <t>Grade 10</t>
        </is>
      </c>
      <c r="E28" s="5" t="n">
        <v>82</v>
      </c>
      <c r="F28" s="5" t="n">
        <v>85</v>
      </c>
      <c r="G28" s="5" t="n">
        <v>79</v>
      </c>
      <c r="H28" s="5" t="n">
        <v>81</v>
      </c>
      <c r="I28" s="5">
        <f>SUM(E28:H28)</f>
        <v/>
      </c>
      <c r="J28" s="6">
        <f>AVERAGE(E28:H28)</f>
        <v/>
      </c>
      <c r="K28" s="7" t="n">
        <v>0.93</v>
      </c>
      <c r="L28" s="5" t="n">
        <v>14</v>
      </c>
    </row>
    <row r="29" ht="20" customHeight="1">
      <c r="A29" s="8" t="inlineStr">
        <is>
          <t>STU1026</t>
        </is>
      </c>
      <c r="B29" s="9" t="inlineStr">
        <is>
          <t>Anushree Pillai</t>
        </is>
      </c>
      <c r="C29" s="8" t="inlineStr">
        <is>
          <t>Female</t>
        </is>
      </c>
      <c r="D29" s="8" t="inlineStr">
        <is>
          <t>Grade 10</t>
        </is>
      </c>
      <c r="E29" s="10" t="n">
        <v>77</v>
      </c>
      <c r="F29" s="10" t="n">
        <v>80</v>
      </c>
      <c r="G29" s="10" t="n">
        <v>82</v>
      </c>
      <c r="H29" s="10" t="n">
        <v>78</v>
      </c>
      <c r="I29" s="10">
        <f>SUM(E29:H29)</f>
        <v/>
      </c>
      <c r="J29" s="11">
        <f>AVERAGE(E29:H29)</f>
        <v/>
      </c>
      <c r="K29" s="12" t="n">
        <v>0.9</v>
      </c>
      <c r="L29" s="10" t="n">
        <v>12</v>
      </c>
    </row>
    <row r="30" ht="20" customHeight="1">
      <c r="A30" s="3" t="inlineStr">
        <is>
          <t>STU1027</t>
        </is>
      </c>
      <c r="B30" s="4" t="inlineStr">
        <is>
          <t>Gaurav Bansal</t>
        </is>
      </c>
      <c r="C30" s="3" t="inlineStr">
        <is>
          <t>Male</t>
        </is>
      </c>
      <c r="D30" s="3" t="inlineStr">
        <is>
          <t>Grade 11</t>
        </is>
      </c>
      <c r="E30" s="5" t="n">
        <v>64</v>
      </c>
      <c r="F30" s="5" t="n">
        <v>68</v>
      </c>
      <c r="G30" s="5" t="n">
        <v>66</v>
      </c>
      <c r="H30" s="5" t="n">
        <v>62</v>
      </c>
      <c r="I30" s="5">
        <f>SUM(E30:H30)</f>
        <v/>
      </c>
      <c r="J30" s="6">
        <f>AVERAGE(E30:H30)</f>
        <v/>
      </c>
      <c r="K30" s="7" t="n">
        <v>0.8100000000000001</v>
      </c>
      <c r="L30" s="5" t="n">
        <v>8</v>
      </c>
    </row>
    <row r="31" ht="20" customHeight="1">
      <c r="A31" s="8" t="inlineStr">
        <is>
          <t>STU1028</t>
        </is>
      </c>
      <c r="B31" s="9" t="inlineStr">
        <is>
          <t>Simran Kaur</t>
        </is>
      </c>
      <c r="C31" s="8" t="inlineStr">
        <is>
          <t>Female</t>
        </is>
      </c>
      <c r="D31" s="8" t="inlineStr">
        <is>
          <t>Grade 11</t>
        </is>
      </c>
      <c r="E31" s="10" t="n">
        <v>88</v>
      </c>
      <c r="F31" s="10" t="n">
        <v>90</v>
      </c>
      <c r="G31" s="10" t="n">
        <v>91</v>
      </c>
      <c r="H31" s="10" t="n">
        <v>87</v>
      </c>
      <c r="I31" s="10">
        <f>SUM(E31:H31)</f>
        <v/>
      </c>
      <c r="J31" s="11">
        <f>AVERAGE(E31:H31)</f>
        <v/>
      </c>
      <c r="K31" s="12" t="n">
        <v>0.95</v>
      </c>
      <c r="L31" s="10" t="n">
        <v>16</v>
      </c>
    </row>
    <row r="32" ht="20" customHeight="1">
      <c r="A32" s="3" t="inlineStr">
        <is>
          <t>STU1029</t>
        </is>
      </c>
      <c r="B32" s="4" t="inlineStr">
        <is>
          <t>Nikhil Jain</t>
        </is>
      </c>
      <c r="C32" s="3" t="inlineStr">
        <is>
          <t>Male</t>
        </is>
      </c>
      <c r="D32" s="3" t="inlineStr">
        <is>
          <t>Grade 12</t>
        </is>
      </c>
      <c r="E32" s="5" t="n">
        <v>90</v>
      </c>
      <c r="F32" s="5" t="n">
        <v>93</v>
      </c>
      <c r="G32" s="5" t="n">
        <v>85</v>
      </c>
      <c r="H32" s="5" t="n">
        <v>88</v>
      </c>
      <c r="I32" s="5">
        <f>SUM(E32:H32)</f>
        <v/>
      </c>
      <c r="J32" s="6">
        <f>AVERAGE(E32:H32)</f>
        <v/>
      </c>
      <c r="K32" s="7" t="n">
        <v>0.96</v>
      </c>
      <c r="L32" s="5" t="n">
        <v>18</v>
      </c>
    </row>
    <row r="33" ht="20" customHeight="1">
      <c r="A33" s="8" t="inlineStr">
        <is>
          <t>STU1030</t>
        </is>
      </c>
      <c r="B33" s="9" t="inlineStr">
        <is>
          <t>Tara D'Souza</t>
        </is>
      </c>
      <c r="C33" s="8" t="inlineStr">
        <is>
          <t>Female</t>
        </is>
      </c>
      <c r="D33" s="8" t="inlineStr">
        <is>
          <t>Grade 12</t>
        </is>
      </c>
      <c r="E33" s="10" t="n">
        <v>73</v>
      </c>
      <c r="F33" s="10" t="n">
        <v>76</v>
      </c>
      <c r="G33" s="10" t="n">
        <v>80</v>
      </c>
      <c r="H33" s="10" t="n">
        <v>75</v>
      </c>
      <c r="I33" s="10">
        <f>SUM(E33:H33)</f>
        <v/>
      </c>
      <c r="J33" s="11">
        <f>AVERAGE(E33:H33)</f>
        <v/>
      </c>
      <c r="K33" s="12" t="n">
        <v>0.86</v>
      </c>
      <c r="L33" s="10" t="n">
        <v>10</v>
      </c>
    </row>
    <row r="34" ht="20" customHeight="1">
      <c r="A34" s="3" t="inlineStr">
        <is>
          <t>STU1031</t>
        </is>
      </c>
      <c r="B34" s="4" t="inlineStr">
        <is>
          <t>Pranav Kulkarni</t>
        </is>
      </c>
      <c r="C34" s="3" t="inlineStr">
        <is>
          <t>Male</t>
        </is>
      </c>
      <c r="D34" s="3" t="inlineStr">
        <is>
          <t>Grade 10</t>
        </is>
      </c>
      <c r="E34" s="5" t="n">
        <v>86</v>
      </c>
      <c r="F34" s="5" t="n">
        <v>88</v>
      </c>
      <c r="G34" s="5" t="n">
        <v>81</v>
      </c>
      <c r="H34" s="5" t="n">
        <v>84</v>
      </c>
      <c r="I34" s="5">
        <f>SUM(E34:H34)</f>
        <v/>
      </c>
      <c r="J34" s="6">
        <f>AVERAGE(E34:H34)</f>
        <v/>
      </c>
      <c r="K34" s="7" t="n">
        <v>0.92</v>
      </c>
      <c r="L34" s="5" t="n">
        <v>15</v>
      </c>
    </row>
    <row r="35" ht="20" customHeight="1">
      <c r="A35" s="8" t="inlineStr">
        <is>
          <t>STU1032</t>
        </is>
      </c>
      <c r="B35" s="9" t="inlineStr">
        <is>
          <t>Aditi Mukherjee</t>
        </is>
      </c>
      <c r="C35" s="8" t="inlineStr">
        <is>
          <t>Female</t>
        </is>
      </c>
      <c r="D35" s="8" t="inlineStr">
        <is>
          <t>Grade 10</t>
        </is>
      </c>
      <c r="E35" s="10" t="n">
        <v>93</v>
      </c>
      <c r="F35" s="10" t="n">
        <v>95</v>
      </c>
      <c r="G35" s="10" t="n">
        <v>96</v>
      </c>
      <c r="H35" s="10" t="n">
        <v>92</v>
      </c>
      <c r="I35" s="10">
        <f>SUM(E35:H35)</f>
        <v/>
      </c>
      <c r="J35" s="11">
        <f>AVERAGE(E35:H35)</f>
        <v/>
      </c>
      <c r="K35" s="12" t="n">
        <v>0.98</v>
      </c>
      <c r="L35" s="10" t="n">
        <v>19</v>
      </c>
    </row>
    <row r="36" ht="20" customHeight="1">
      <c r="A36" s="3" t="inlineStr">
        <is>
          <t>STU1033</t>
        </is>
      </c>
      <c r="B36" s="4" t="inlineStr">
        <is>
          <t>Harsh Vardhan</t>
        </is>
      </c>
      <c r="C36" s="3" t="inlineStr">
        <is>
          <t>Male</t>
        </is>
      </c>
      <c r="D36" s="3" t="inlineStr">
        <is>
          <t>Grade 11</t>
        </is>
      </c>
      <c r="E36" s="5" t="n">
        <v>52</v>
      </c>
      <c r="F36" s="5" t="n">
        <v>55</v>
      </c>
      <c r="G36" s="5" t="n">
        <v>58</v>
      </c>
      <c r="H36" s="5" t="n">
        <v>51</v>
      </c>
      <c r="I36" s="5">
        <f>SUM(E36:H36)</f>
        <v/>
      </c>
      <c r="J36" s="6">
        <f>AVERAGE(E36:H36)</f>
        <v/>
      </c>
      <c r="K36" s="7" t="n">
        <v>0.72</v>
      </c>
      <c r="L36" s="5" t="n">
        <v>6</v>
      </c>
    </row>
    <row r="37" ht="20" customHeight="1">
      <c r="A37" s="8" t="inlineStr">
        <is>
          <t>STU1034</t>
        </is>
      </c>
      <c r="B37" s="9" t="inlineStr">
        <is>
          <t>Kriti Shetty</t>
        </is>
      </c>
      <c r="C37" s="8" t="inlineStr">
        <is>
          <t>Female</t>
        </is>
      </c>
      <c r="D37" s="8" t="inlineStr">
        <is>
          <t>Grade 11</t>
        </is>
      </c>
      <c r="E37" s="10" t="n">
        <v>84</v>
      </c>
      <c r="F37" s="10" t="n">
        <v>87</v>
      </c>
      <c r="G37" s="10" t="n">
        <v>86</v>
      </c>
      <c r="H37" s="10" t="n">
        <v>83</v>
      </c>
      <c r="I37" s="10">
        <f>SUM(E37:H37)</f>
        <v/>
      </c>
      <c r="J37" s="11">
        <f>AVERAGE(E37:H37)</f>
        <v/>
      </c>
      <c r="K37" s="12" t="n">
        <v>0.92</v>
      </c>
      <c r="L37" s="10" t="n">
        <v>14</v>
      </c>
    </row>
    <row r="38" ht="20" customHeight="1">
      <c r="A38" s="3" t="inlineStr">
        <is>
          <t>STU1035</t>
        </is>
      </c>
      <c r="B38" s="4" t="inlineStr">
        <is>
          <t>Manish Tiwari</t>
        </is>
      </c>
      <c r="C38" s="3" t="inlineStr">
        <is>
          <t>Male</t>
        </is>
      </c>
      <c r="D38" s="3" t="inlineStr">
        <is>
          <t>Grade 12</t>
        </is>
      </c>
      <c r="E38" s="5" t="n">
        <v>75</v>
      </c>
      <c r="F38" s="5" t="n">
        <v>78</v>
      </c>
      <c r="G38" s="5" t="n">
        <v>73</v>
      </c>
      <c r="H38" s="5" t="n">
        <v>76</v>
      </c>
      <c r="I38" s="5">
        <f>SUM(E38:H38)</f>
        <v/>
      </c>
      <c r="J38" s="6">
        <f>AVERAGE(E38:H38)</f>
        <v/>
      </c>
      <c r="K38" s="7" t="n">
        <v>0.87</v>
      </c>
      <c r="L38" s="5" t="n">
        <v>11</v>
      </c>
    </row>
    <row r="39" ht="20" customHeight="1">
      <c r="A39" s="8" t="inlineStr">
        <is>
          <t>STU1036</t>
        </is>
      </c>
      <c r="B39" s="9" t="inlineStr">
        <is>
          <t>Bhavna Mishra</t>
        </is>
      </c>
      <c r="C39" s="8" t="inlineStr">
        <is>
          <t>Female</t>
        </is>
      </c>
      <c r="D39" s="8" t="inlineStr">
        <is>
          <t>Grade 12</t>
        </is>
      </c>
      <c r="E39" s="10" t="n">
        <v>89</v>
      </c>
      <c r="F39" s="10" t="n">
        <v>91</v>
      </c>
      <c r="G39" s="10" t="n">
        <v>92</v>
      </c>
      <c r="H39" s="10" t="n">
        <v>89</v>
      </c>
      <c r="I39" s="10">
        <f>SUM(E39:H39)</f>
        <v/>
      </c>
      <c r="J39" s="11">
        <f>AVERAGE(E39:H39)</f>
        <v/>
      </c>
      <c r="K39" s="12" t="n">
        <v>0.95</v>
      </c>
      <c r="L39" s="10" t="n">
        <v>16</v>
      </c>
    </row>
    <row r="40" ht="20" customHeight="1">
      <c r="A40" s="3" t="inlineStr">
        <is>
          <t>STU1037</t>
        </is>
      </c>
      <c r="B40" s="4" t="inlineStr">
        <is>
          <t>Rishabh Bajaj</t>
        </is>
      </c>
      <c r="C40" s="3" t="inlineStr">
        <is>
          <t>Male</t>
        </is>
      </c>
      <c r="D40" s="3" t="inlineStr">
        <is>
          <t>Grade 10</t>
        </is>
      </c>
      <c r="E40" s="5" t="n">
        <v>70</v>
      </c>
      <c r="F40" s="5" t="n">
        <v>72</v>
      </c>
      <c r="G40" s="5" t="n">
        <v>68</v>
      </c>
      <c r="H40" s="5" t="n">
        <v>71</v>
      </c>
      <c r="I40" s="5">
        <f>SUM(E40:H40)</f>
        <v/>
      </c>
      <c r="J40" s="6">
        <f>AVERAGE(E40:H40)</f>
        <v/>
      </c>
      <c r="K40" s="7" t="n">
        <v>0.85</v>
      </c>
      <c r="L40" s="5" t="n">
        <v>10</v>
      </c>
    </row>
    <row r="41" ht="20" customHeight="1">
      <c r="A41" s="8" t="inlineStr">
        <is>
          <t>STU1038</t>
        </is>
      </c>
      <c r="B41" s="9" t="inlineStr">
        <is>
          <t>Swati Sinha</t>
        </is>
      </c>
      <c r="C41" s="8" t="inlineStr">
        <is>
          <t>Female</t>
        </is>
      </c>
      <c r="D41" s="8" t="inlineStr">
        <is>
          <t>Grade 10</t>
        </is>
      </c>
      <c r="E41" s="10" t="n">
        <v>95</v>
      </c>
      <c r="F41" s="10" t="n">
        <v>97</v>
      </c>
      <c r="G41" s="10" t="n">
        <v>93</v>
      </c>
      <c r="H41" s="10" t="n">
        <v>96</v>
      </c>
      <c r="I41" s="10">
        <f>SUM(E41:H41)</f>
        <v/>
      </c>
      <c r="J41" s="11">
        <f>AVERAGE(E41:H41)</f>
        <v/>
      </c>
      <c r="K41" s="12" t="n">
        <v>0.99</v>
      </c>
      <c r="L41" s="10" t="n">
        <v>20</v>
      </c>
    </row>
    <row r="42" ht="20" customHeight="1">
      <c r="A42" s="3" t="inlineStr">
        <is>
          <t>STU1039</t>
        </is>
      </c>
      <c r="B42" s="4" t="inlineStr">
        <is>
          <t>Alok Nambiar</t>
        </is>
      </c>
      <c r="C42" s="3" t="inlineStr">
        <is>
          <t>Male</t>
        </is>
      </c>
      <c r="D42" s="3" t="inlineStr">
        <is>
          <t>Grade 11</t>
        </is>
      </c>
      <c r="E42" s="5" t="n">
        <v>80</v>
      </c>
      <c r="F42" s="5" t="n">
        <v>83</v>
      </c>
      <c r="G42" s="5" t="n">
        <v>78</v>
      </c>
      <c r="H42" s="5" t="n">
        <v>81</v>
      </c>
      <c r="I42" s="5">
        <f>SUM(E42:H42)</f>
        <v/>
      </c>
      <c r="J42" s="6">
        <f>AVERAGE(E42:H42)</f>
        <v/>
      </c>
      <c r="K42" s="7" t="n">
        <v>0.9</v>
      </c>
      <c r="L42" s="5" t="n">
        <v>13</v>
      </c>
    </row>
    <row r="43" ht="20" customHeight="1">
      <c r="A43" s="8" t="inlineStr">
        <is>
          <t>STU1040</t>
        </is>
      </c>
      <c r="B43" s="9" t="inlineStr">
        <is>
          <t>Divya Choudhury</t>
        </is>
      </c>
      <c r="C43" s="8" t="inlineStr">
        <is>
          <t>Female</t>
        </is>
      </c>
      <c r="D43" s="8" t="inlineStr">
        <is>
          <t>Grade 11</t>
        </is>
      </c>
      <c r="E43" s="10" t="n">
        <v>82</v>
      </c>
      <c r="F43" s="10" t="n">
        <v>80</v>
      </c>
      <c r="G43" s="10" t="n">
        <v>85</v>
      </c>
      <c r="H43" s="10" t="n">
        <v>83</v>
      </c>
      <c r="I43" s="10">
        <f>SUM(E43:H43)</f>
        <v/>
      </c>
      <c r="J43" s="11">
        <f>AVERAGE(E43:H43)</f>
        <v/>
      </c>
      <c r="K43" s="12" t="n">
        <v>0.91</v>
      </c>
      <c r="L43" s="10" t="n">
        <v>13</v>
      </c>
    </row>
    <row r="44" ht="20" customHeight="1">
      <c r="A44" s="3" t="inlineStr">
        <is>
          <t>STU1041</t>
        </is>
      </c>
      <c r="B44" s="4" t="inlineStr">
        <is>
          <t>Sameer Gill</t>
        </is>
      </c>
      <c r="C44" s="3" t="inlineStr">
        <is>
          <t>Male</t>
        </is>
      </c>
      <c r="D44" s="3" t="inlineStr">
        <is>
          <t>Grade 12</t>
        </is>
      </c>
      <c r="E44" s="5" t="n">
        <v>61</v>
      </c>
      <c r="F44" s="5" t="n">
        <v>65</v>
      </c>
      <c r="G44" s="5" t="n">
        <v>60</v>
      </c>
      <c r="H44" s="5" t="n">
        <v>59</v>
      </c>
      <c r="I44" s="5">
        <f>SUM(E44:H44)</f>
        <v/>
      </c>
      <c r="J44" s="6">
        <f>AVERAGE(E44:H44)</f>
        <v/>
      </c>
      <c r="K44" s="7" t="n">
        <v>0.79</v>
      </c>
      <c r="L44" s="5" t="n">
        <v>7</v>
      </c>
    </row>
    <row r="45" ht="20" customHeight="1">
      <c r="A45" s="8" t="inlineStr">
        <is>
          <t>STU1042</t>
        </is>
      </c>
      <c r="B45" s="9" t="inlineStr">
        <is>
          <t>Nandini Dutta</t>
        </is>
      </c>
      <c r="C45" s="8" t="inlineStr">
        <is>
          <t>Female</t>
        </is>
      </c>
      <c r="D45" s="8" t="inlineStr">
        <is>
          <t>Grade 12</t>
        </is>
      </c>
      <c r="E45" s="10" t="n">
        <v>92</v>
      </c>
      <c r="F45" s="10" t="n">
        <v>90</v>
      </c>
      <c r="G45" s="10" t="n">
        <v>94</v>
      </c>
      <c r="H45" s="10" t="n">
        <v>91</v>
      </c>
      <c r="I45" s="10">
        <f>SUM(E45:H45)</f>
        <v/>
      </c>
      <c r="J45" s="11">
        <f>AVERAGE(E45:H45)</f>
        <v/>
      </c>
      <c r="K45" s="12" t="n">
        <v>0.97</v>
      </c>
      <c r="L45" s="10" t="n">
        <v>17</v>
      </c>
    </row>
    <row r="46" ht="20" customHeight="1">
      <c r="A46" s="3" t="inlineStr">
        <is>
          <t>STU1043</t>
        </is>
      </c>
      <c r="B46" s="4" t="inlineStr">
        <is>
          <t>Tushar Saxena</t>
        </is>
      </c>
      <c r="C46" s="3" t="inlineStr">
        <is>
          <t>Male</t>
        </is>
      </c>
      <c r="D46" s="3" t="inlineStr">
        <is>
          <t>Grade 10</t>
        </is>
      </c>
      <c r="E46" s="5" t="n">
        <v>78</v>
      </c>
      <c r="F46" s="5" t="n">
        <v>81</v>
      </c>
      <c r="G46" s="5" t="n">
        <v>75</v>
      </c>
      <c r="H46" s="5" t="n">
        <v>77</v>
      </c>
      <c r="I46" s="5">
        <f>SUM(E46:H46)</f>
        <v/>
      </c>
      <c r="J46" s="6">
        <f>AVERAGE(E46:H46)</f>
        <v/>
      </c>
      <c r="K46" s="7" t="n">
        <v>0.89</v>
      </c>
      <c r="L46" s="5" t="n">
        <v>12</v>
      </c>
    </row>
    <row r="47" ht="20" customHeight="1">
      <c r="A47" s="8" t="inlineStr">
        <is>
          <t>STU1044</t>
        </is>
      </c>
      <c r="B47" s="9" t="inlineStr">
        <is>
          <t>Shreya Ghosh</t>
        </is>
      </c>
      <c r="C47" s="8" t="inlineStr">
        <is>
          <t>Female</t>
        </is>
      </c>
      <c r="D47" s="8" t="inlineStr">
        <is>
          <t>Grade 10</t>
        </is>
      </c>
      <c r="E47" s="10" t="n">
        <v>87</v>
      </c>
      <c r="F47" s="10" t="n">
        <v>89</v>
      </c>
      <c r="G47" s="10" t="n">
        <v>88</v>
      </c>
      <c r="H47" s="10" t="n">
        <v>86</v>
      </c>
      <c r="I47" s="10">
        <f>SUM(E47:H47)</f>
        <v/>
      </c>
      <c r="J47" s="11">
        <f>AVERAGE(E47:H47)</f>
        <v/>
      </c>
      <c r="K47" s="12" t="n">
        <v>0.9399999999999999</v>
      </c>
      <c r="L47" s="10" t="n">
        <v>15</v>
      </c>
    </row>
    <row r="48" ht="20" customHeight="1">
      <c r="A48" s="3" t="inlineStr">
        <is>
          <t>STU1045</t>
        </is>
      </c>
      <c r="B48" s="4" t="inlineStr">
        <is>
          <t>Abhinav Bhasin</t>
        </is>
      </c>
      <c r="C48" s="3" t="inlineStr">
        <is>
          <t>Male</t>
        </is>
      </c>
      <c r="D48" s="3" t="inlineStr">
        <is>
          <t>Grade 11</t>
        </is>
      </c>
      <c r="E48" s="5" t="n">
        <v>50</v>
      </c>
      <c r="F48" s="5" t="n">
        <v>54</v>
      </c>
      <c r="G48" s="5" t="n">
        <v>52</v>
      </c>
      <c r="H48" s="5" t="n">
        <v>49</v>
      </c>
      <c r="I48" s="5">
        <f>SUM(E48:H48)</f>
        <v/>
      </c>
      <c r="J48" s="6">
        <f>AVERAGE(E48:H48)</f>
        <v/>
      </c>
      <c r="K48" s="7" t="n">
        <v>0.71</v>
      </c>
      <c r="L48" s="5" t="n">
        <v>5</v>
      </c>
    </row>
    <row r="49" ht="20" customHeight="1">
      <c r="A49" s="8" t="inlineStr">
        <is>
          <t>STU1046</t>
        </is>
      </c>
      <c r="B49" s="9" t="inlineStr">
        <is>
          <t>Deepika Reddy</t>
        </is>
      </c>
      <c r="C49" s="8" t="inlineStr">
        <is>
          <t>Female</t>
        </is>
      </c>
      <c r="D49" s="8" t="inlineStr">
        <is>
          <t>Grade 11</t>
        </is>
      </c>
      <c r="E49" s="10" t="n">
        <v>91</v>
      </c>
      <c r="F49" s="10" t="n">
        <v>93</v>
      </c>
      <c r="G49" s="10" t="n">
        <v>90</v>
      </c>
      <c r="H49" s="10" t="n">
        <v>92</v>
      </c>
      <c r="I49" s="10">
        <f>SUM(E49:H49)</f>
        <v/>
      </c>
      <c r="J49" s="11">
        <f>AVERAGE(E49:H49)</f>
        <v/>
      </c>
      <c r="K49" s="12" t="n">
        <v>0.96</v>
      </c>
      <c r="L49" s="10" t="n">
        <v>18</v>
      </c>
    </row>
    <row r="50" ht="20" customHeight="1">
      <c r="A50" s="3" t="inlineStr">
        <is>
          <t>STU1047</t>
        </is>
      </c>
      <c r="B50" s="4" t="inlineStr">
        <is>
          <t>Karthik Mohan</t>
        </is>
      </c>
      <c r="C50" s="3" t="inlineStr">
        <is>
          <t>Male</t>
        </is>
      </c>
      <c r="D50" s="3" t="inlineStr">
        <is>
          <t>Grade 12</t>
        </is>
      </c>
      <c r="E50" s="5" t="n">
        <v>85</v>
      </c>
      <c r="F50" s="5" t="n">
        <v>87</v>
      </c>
      <c r="G50" s="5" t="n">
        <v>82</v>
      </c>
      <c r="H50" s="5" t="n">
        <v>84</v>
      </c>
      <c r="I50" s="5">
        <f>SUM(E50:H50)</f>
        <v/>
      </c>
      <c r="J50" s="6">
        <f>AVERAGE(E50:H50)</f>
        <v/>
      </c>
      <c r="K50" s="7" t="n">
        <v>0.93</v>
      </c>
      <c r="L50" s="5" t="n">
        <v>15</v>
      </c>
    </row>
    <row r="51" ht="20" customHeight="1">
      <c r="A51" s="8" t="inlineStr">
        <is>
          <t>STU1048</t>
        </is>
      </c>
      <c r="B51" s="9" t="inlineStr">
        <is>
          <t>Preeti Solanki</t>
        </is>
      </c>
      <c r="C51" s="8" t="inlineStr">
        <is>
          <t>Female</t>
        </is>
      </c>
      <c r="D51" s="8" t="inlineStr">
        <is>
          <t>Grade 12</t>
        </is>
      </c>
      <c r="E51" s="10" t="n">
        <v>79</v>
      </c>
      <c r="F51" s="10" t="n">
        <v>81</v>
      </c>
      <c r="G51" s="10" t="n">
        <v>83</v>
      </c>
      <c r="H51" s="10" t="n">
        <v>80</v>
      </c>
      <c r="I51" s="10">
        <f>SUM(E51:H51)</f>
        <v/>
      </c>
      <c r="J51" s="11">
        <f>AVERAGE(E51:H51)</f>
        <v/>
      </c>
      <c r="K51" s="12" t="n">
        <v>0.88</v>
      </c>
      <c r="L51" s="10" t="n">
        <v>12</v>
      </c>
    </row>
    <row r="52" ht="20" customHeight="1">
      <c r="A52" s="3" t="inlineStr">
        <is>
          <t>STU1049</t>
        </is>
      </c>
      <c r="B52" s="4" t="inlineStr">
        <is>
          <t>Saurabh Kalia</t>
        </is>
      </c>
      <c r="C52" s="3" t="inlineStr">
        <is>
          <t>Male</t>
        </is>
      </c>
      <c r="D52" s="3" t="inlineStr">
        <is>
          <t>Grade 10</t>
        </is>
      </c>
      <c r="E52" s="5" t="n">
        <v>66</v>
      </c>
      <c r="F52" s="5" t="n">
        <v>69</v>
      </c>
      <c r="G52" s="5" t="n">
        <v>65</v>
      </c>
      <c r="H52" s="5" t="n">
        <v>67</v>
      </c>
      <c r="I52" s="5">
        <f>SUM(E52:H52)</f>
        <v/>
      </c>
      <c r="J52" s="6">
        <f>AVERAGE(E52:H52)</f>
        <v/>
      </c>
      <c r="K52" s="7" t="n">
        <v>0.83</v>
      </c>
      <c r="L52" s="5" t="n">
        <v>9</v>
      </c>
    </row>
    <row r="53" ht="20" customHeight="1">
      <c r="A53" s="8" t="inlineStr">
        <is>
          <t>STU1050</t>
        </is>
      </c>
      <c r="B53" s="9" t="inlineStr">
        <is>
          <t>Pallavi Thakur</t>
        </is>
      </c>
      <c r="C53" s="8" t="inlineStr">
        <is>
          <t>Female</t>
        </is>
      </c>
      <c r="D53" s="8" t="inlineStr">
        <is>
          <t>Grade 10</t>
        </is>
      </c>
      <c r="E53" s="10" t="n">
        <v>88</v>
      </c>
      <c r="F53" s="10" t="n">
        <v>90</v>
      </c>
      <c r="G53" s="10" t="n">
        <v>92</v>
      </c>
      <c r="H53" s="10" t="n">
        <v>89</v>
      </c>
      <c r="I53" s="10">
        <f>SUM(E53:H53)</f>
        <v/>
      </c>
      <c r="J53" s="11">
        <f>AVERAGE(E53:H53)</f>
        <v/>
      </c>
      <c r="K53" s="12" t="n">
        <v>0.95</v>
      </c>
      <c r="L53" s="10" t="n">
        <v>16</v>
      </c>
    </row>
    <row r="54" ht="20" customHeight="1">
      <c r="A54" s="3" t="inlineStr">
        <is>
          <t>STU1051</t>
        </is>
      </c>
      <c r="B54" s="4" t="inlineStr">
        <is>
          <t>Vivek Anand</t>
        </is>
      </c>
      <c r="C54" s="3" t="inlineStr">
        <is>
          <t>Male</t>
        </is>
      </c>
      <c r="D54" s="3" t="inlineStr">
        <is>
          <t>Grade 11</t>
        </is>
      </c>
      <c r="E54" s="5" t="n">
        <v>73</v>
      </c>
      <c r="F54" s="5" t="n">
        <v>75</v>
      </c>
      <c r="G54" s="5" t="n">
        <v>70</v>
      </c>
      <c r="H54" s="5" t="n">
        <v>72</v>
      </c>
      <c r="I54" s="5">
        <f>SUM(E54:H54)</f>
        <v/>
      </c>
      <c r="J54" s="6">
        <f>AVERAGE(E54:H54)</f>
        <v/>
      </c>
      <c r="K54" s="7" t="n">
        <v>0.86</v>
      </c>
      <c r="L54" s="5" t="n">
        <v>10</v>
      </c>
    </row>
    <row r="55" ht="20" customHeight="1">
      <c r="A55" s="8" t="inlineStr">
        <is>
          <t>STU1052</t>
        </is>
      </c>
      <c r="B55" s="9" t="inlineStr">
        <is>
          <t>Juhi Trivedi</t>
        </is>
      </c>
      <c r="C55" s="8" t="inlineStr">
        <is>
          <t>Female</t>
        </is>
      </c>
      <c r="D55" s="8" t="inlineStr">
        <is>
          <t>Grade 11</t>
        </is>
      </c>
      <c r="E55" s="10" t="n">
        <v>96</v>
      </c>
      <c r="F55" s="10" t="n">
        <v>98</v>
      </c>
      <c r="G55" s="10" t="n">
        <v>97</v>
      </c>
      <c r="H55" s="10" t="n">
        <v>95</v>
      </c>
      <c r="I55" s="10">
        <f>SUM(E55:H55)</f>
        <v/>
      </c>
      <c r="J55" s="11">
        <f>AVERAGE(E55:H55)</f>
        <v/>
      </c>
      <c r="K55" s="12" t="n">
        <v>1</v>
      </c>
      <c r="L55" s="10" t="n">
        <v>21</v>
      </c>
    </row>
    <row r="56" ht="20" customHeight="1">
      <c r="A56" s="3" t="inlineStr">
        <is>
          <t>STU1053</t>
        </is>
      </c>
      <c r="B56" s="4" t="inlineStr">
        <is>
          <t>Aakash Varma</t>
        </is>
      </c>
      <c r="C56" s="3" t="inlineStr">
        <is>
          <t>Male</t>
        </is>
      </c>
      <c r="D56" s="3" t="inlineStr">
        <is>
          <t>Grade 12</t>
        </is>
      </c>
      <c r="E56" s="5" t="n">
        <v>57</v>
      </c>
      <c r="F56" s="5" t="n">
        <v>60</v>
      </c>
      <c r="G56" s="5" t="n">
        <v>58</v>
      </c>
      <c r="H56" s="5" t="n">
        <v>54</v>
      </c>
      <c r="I56" s="5">
        <f>SUM(E56:H56)</f>
        <v/>
      </c>
      <c r="J56" s="6">
        <f>AVERAGE(E56:H56)</f>
        <v/>
      </c>
      <c r="K56" s="7" t="n">
        <v>0.76</v>
      </c>
      <c r="L56" s="5" t="n">
        <v>6</v>
      </c>
    </row>
    <row r="57" ht="20" customHeight="1">
      <c r="A57" s="8" t="inlineStr">
        <is>
          <t>STU1054</t>
        </is>
      </c>
      <c r="B57" s="9" t="inlineStr">
        <is>
          <t>Sonam Kapoor</t>
        </is>
      </c>
      <c r="C57" s="8" t="inlineStr">
        <is>
          <t>Female</t>
        </is>
      </c>
      <c r="D57" s="8" t="inlineStr">
        <is>
          <t>Grade 12</t>
        </is>
      </c>
      <c r="E57" s="10" t="n">
        <v>84</v>
      </c>
      <c r="F57" s="10" t="n">
        <v>86</v>
      </c>
      <c r="G57" s="10" t="n">
        <v>87</v>
      </c>
      <c r="H57" s="10" t="n">
        <v>85</v>
      </c>
      <c r="I57" s="10">
        <f>SUM(E57:H57)</f>
        <v/>
      </c>
      <c r="J57" s="11">
        <f>AVERAGE(E57:H57)</f>
        <v/>
      </c>
      <c r="K57" s="12" t="n">
        <v>0.92</v>
      </c>
      <c r="L57" s="10" t="n">
        <v>14</v>
      </c>
    </row>
    <row r="58" ht="20" customHeight="1">
      <c r="A58" s="3" t="inlineStr">
        <is>
          <t>STU1055</t>
        </is>
      </c>
      <c r="B58" s="4" t="inlineStr">
        <is>
          <t>Chirag Shah</t>
        </is>
      </c>
      <c r="C58" s="3" t="inlineStr">
        <is>
          <t>Male</t>
        </is>
      </c>
      <c r="D58" s="3" t="inlineStr">
        <is>
          <t>Grade 10</t>
        </is>
      </c>
      <c r="E58" s="5" t="n">
        <v>81</v>
      </c>
      <c r="F58" s="5" t="n">
        <v>84</v>
      </c>
      <c r="G58" s="5" t="n">
        <v>78</v>
      </c>
      <c r="H58" s="5" t="n">
        <v>80</v>
      </c>
      <c r="I58" s="5">
        <f>SUM(E58:H58)</f>
        <v/>
      </c>
      <c r="J58" s="6">
        <f>AVERAGE(E58:H58)</f>
        <v/>
      </c>
      <c r="K58" s="7" t="n">
        <v>0.91</v>
      </c>
      <c r="L58" s="5" t="n">
        <v>13</v>
      </c>
    </row>
    <row r="59" ht="20" customHeight="1">
      <c r="A59" s="8" t="inlineStr">
        <is>
          <t>STU1056</t>
        </is>
      </c>
      <c r="B59" s="9" t="inlineStr">
        <is>
          <t>Rachna Mittal</t>
        </is>
      </c>
      <c r="C59" s="8" t="inlineStr">
        <is>
          <t>Female</t>
        </is>
      </c>
      <c r="D59" s="8" t="inlineStr">
        <is>
          <t>Grade 10</t>
        </is>
      </c>
      <c r="E59" s="10" t="n">
        <v>75</v>
      </c>
      <c r="F59" s="10" t="n">
        <v>78</v>
      </c>
      <c r="G59" s="10" t="n">
        <v>80</v>
      </c>
      <c r="H59" s="10" t="n">
        <v>76</v>
      </c>
      <c r="I59" s="10">
        <f>SUM(E59:H59)</f>
        <v/>
      </c>
      <c r="J59" s="11">
        <f>AVERAGE(E59:H59)</f>
        <v/>
      </c>
      <c r="K59" s="12" t="n">
        <v>0.88</v>
      </c>
      <c r="L59" s="10" t="n">
        <v>11</v>
      </c>
    </row>
    <row r="60" ht="20" customHeight="1">
      <c r="A60" s="3" t="inlineStr">
        <is>
          <t>STU1057</t>
        </is>
      </c>
      <c r="B60" s="4" t="inlineStr">
        <is>
          <t>Hemant Bose</t>
        </is>
      </c>
      <c r="C60" s="3" t="inlineStr">
        <is>
          <t>Male</t>
        </is>
      </c>
      <c r="D60" s="3" t="inlineStr">
        <is>
          <t>Grade 11</t>
        </is>
      </c>
      <c r="E60" s="5" t="n">
        <v>63</v>
      </c>
      <c r="F60" s="5" t="n">
        <v>66</v>
      </c>
      <c r="G60" s="5" t="n">
        <v>62</v>
      </c>
      <c r="H60" s="5" t="n">
        <v>60</v>
      </c>
      <c r="I60" s="5">
        <f>SUM(E60:H60)</f>
        <v/>
      </c>
      <c r="J60" s="6">
        <f>AVERAGE(E60:H60)</f>
        <v/>
      </c>
      <c r="K60" s="7" t="n">
        <v>0.8</v>
      </c>
      <c r="L60" s="5" t="n">
        <v>8</v>
      </c>
    </row>
    <row r="61" ht="20" customHeight="1">
      <c r="A61" s="8" t="inlineStr">
        <is>
          <t>STU1058</t>
        </is>
      </c>
      <c r="B61" s="9" t="inlineStr">
        <is>
          <t>Vandana Rastogi</t>
        </is>
      </c>
      <c r="C61" s="8" t="inlineStr">
        <is>
          <t>Female</t>
        </is>
      </c>
      <c r="D61" s="8" t="inlineStr">
        <is>
          <t>Grade 11</t>
        </is>
      </c>
      <c r="E61" s="10" t="n">
        <v>89</v>
      </c>
      <c r="F61" s="10" t="n">
        <v>91</v>
      </c>
      <c r="G61" s="10" t="n">
        <v>93</v>
      </c>
      <c r="H61" s="10" t="n">
        <v>90</v>
      </c>
      <c r="I61" s="10">
        <f>SUM(E61:H61)</f>
        <v/>
      </c>
      <c r="J61" s="11">
        <f>AVERAGE(E61:H61)</f>
        <v/>
      </c>
      <c r="K61" s="12" t="n">
        <v>0.95</v>
      </c>
      <c r="L61" s="10" t="n">
        <v>16</v>
      </c>
    </row>
    <row r="62" ht="20" customHeight="1">
      <c r="A62" s="3" t="inlineStr">
        <is>
          <t>STU1059</t>
        </is>
      </c>
      <c r="B62" s="4" t="inlineStr">
        <is>
          <t>Sujay Chatterjee</t>
        </is>
      </c>
      <c r="C62" s="3" t="inlineStr">
        <is>
          <t>Male</t>
        </is>
      </c>
      <c r="D62" s="3" t="inlineStr">
        <is>
          <t>Grade 12</t>
        </is>
      </c>
      <c r="E62" s="5" t="n">
        <v>91</v>
      </c>
      <c r="F62" s="5" t="n">
        <v>94</v>
      </c>
      <c r="G62" s="5" t="n">
        <v>88</v>
      </c>
      <c r="H62" s="5" t="n">
        <v>89</v>
      </c>
      <c r="I62" s="5">
        <f>SUM(E62:H62)</f>
        <v/>
      </c>
      <c r="J62" s="6">
        <f>AVERAGE(E62:H62)</f>
        <v/>
      </c>
      <c r="K62" s="7" t="n">
        <v>0.97</v>
      </c>
      <c r="L62" s="5" t="n">
        <v>18</v>
      </c>
    </row>
    <row r="63" ht="20" customHeight="1">
      <c r="A63" s="8" t="inlineStr">
        <is>
          <t>STU1060</t>
        </is>
      </c>
      <c r="B63" s="9" t="inlineStr">
        <is>
          <t>Priyanka Ahuja</t>
        </is>
      </c>
      <c r="C63" s="8" t="inlineStr">
        <is>
          <t>Female</t>
        </is>
      </c>
      <c r="D63" s="8" t="inlineStr">
        <is>
          <t>Grade 12</t>
        </is>
      </c>
      <c r="E63" s="10" t="n">
        <v>76</v>
      </c>
      <c r="F63" s="10" t="n">
        <v>79</v>
      </c>
      <c r="G63" s="10" t="n">
        <v>82</v>
      </c>
      <c r="H63" s="10" t="n">
        <v>78</v>
      </c>
      <c r="I63" s="10">
        <f>SUM(E63:H63)</f>
        <v/>
      </c>
      <c r="J63" s="11">
        <f>AVERAGE(E63:H63)</f>
        <v/>
      </c>
      <c r="K63" s="12" t="n">
        <v>0.87</v>
      </c>
      <c r="L63" s="10" t="n">
        <v>11</v>
      </c>
    </row>
    <row r="64" ht="24" customHeight="1">
      <c r="A64" s="13" t="inlineStr">
        <is>
          <t>Average / Summary</t>
        </is>
      </c>
      <c r="B64" s="14" t="n"/>
      <c r="C64" s="14" t="n"/>
      <c r="D64" s="14" t="n"/>
      <c r="E64" s="15">
        <f>AVERAGE(E4:E63)</f>
        <v/>
      </c>
      <c r="F64" s="15">
        <f>AVERAGE(F4:F63)</f>
        <v/>
      </c>
      <c r="G64" s="15">
        <f>AVERAGE(G4:G63)</f>
        <v/>
      </c>
      <c r="H64" s="15">
        <f>AVERAGE(H4:H63)</f>
        <v/>
      </c>
      <c r="I64" s="15">
        <f>AVERAGE(I4:I63)</f>
        <v/>
      </c>
      <c r="J64" s="15">
        <f>AVERAGE(J4:J63)</f>
        <v/>
      </c>
      <c r="K64" s="14" t="n"/>
      <c r="L64" s="15">
        <f>AVERAGE(L4:L63)</f>
        <v/>
      </c>
    </row>
  </sheetData>
  <mergeCells count="1">
    <mergeCell ref="A1:L1"/>
  </mergeCells>
  <conditionalFormatting sqref="J4:J63">
    <cfRule type="colorScale" priority="1">
      <colorScale>
        <cfvo type="num" val="50"/>
        <cfvo type="num" val="75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</cols>
  <sheetData>
    <row r="1" ht="35" customHeight="1">
      <c r="A1" s="1" t="inlineStr">
        <is>
          <t>Executive Summary &amp; High-Level Metrics</t>
        </is>
      </c>
    </row>
    <row r="3" ht="24" customHeight="1">
      <c r="A3" s="16" t="inlineStr">
        <is>
          <t>Metric Name</t>
        </is>
      </c>
      <c r="B3" s="16" t="inlineStr">
        <is>
          <t>Value</t>
        </is>
      </c>
      <c r="C3" s="16" t="inlineStr">
        <is>
          <t>Notes</t>
        </is>
      </c>
    </row>
    <row r="4" ht="20" customHeight="1">
      <c r="A4" s="17" t="inlineStr">
        <is>
          <t>Total Students</t>
        </is>
      </c>
      <c r="B4" s="18">
        <f>COUNTA('Student Marks'!A4:A63)</f>
        <v/>
      </c>
      <c r="C4" s="19" t="inlineStr">
        <is>
          <t>Total enrolled students in dataset</t>
        </is>
      </c>
    </row>
    <row r="5" ht="20" customHeight="1">
      <c r="A5" s="17" t="inlineStr">
        <is>
          <t>Overall Math Average</t>
        </is>
      </c>
      <c r="B5" s="20">
        <f>AVERAGE('Student Marks'!E4:E63)</f>
        <v/>
      </c>
      <c r="C5" s="19" t="inlineStr">
        <is>
          <t>Out of 100</t>
        </is>
      </c>
    </row>
    <row r="6" ht="20" customHeight="1">
      <c r="A6" s="17" t="inlineStr">
        <is>
          <t>Overall Science Average</t>
        </is>
      </c>
      <c r="B6" s="20">
        <f>AVERAGE('Student Marks'!F4:F63)</f>
        <v/>
      </c>
      <c r="C6" s="19" t="inlineStr">
        <is>
          <t>Out of 100</t>
        </is>
      </c>
    </row>
    <row r="7" ht="20" customHeight="1">
      <c r="A7" s="17" t="inlineStr">
        <is>
          <t>Overall English Average</t>
        </is>
      </c>
      <c r="B7" s="20">
        <f>AVERAGE('Student Marks'!G4:G63)</f>
        <v/>
      </c>
      <c r="C7" s="19" t="inlineStr">
        <is>
          <t>Out of 100</t>
        </is>
      </c>
    </row>
    <row r="8" ht="20" customHeight="1">
      <c r="A8" s="17" t="inlineStr">
        <is>
          <t>Overall History Average</t>
        </is>
      </c>
      <c r="B8" s="20">
        <f>AVERAGE('Student Marks'!H4:H63)</f>
        <v/>
      </c>
      <c r="C8" s="19" t="inlineStr">
        <is>
          <t>Out of 100</t>
        </is>
      </c>
    </row>
    <row r="9" ht="20" customHeight="1">
      <c r="A9" s="17" t="inlineStr">
        <is>
          <t>Overall Overall Average</t>
        </is>
      </c>
      <c r="B9" s="20">
        <f>AVERAGE('Student Marks'!J4:J63)</f>
        <v/>
      </c>
      <c r="C9" s="19" t="inlineStr">
        <is>
          <t>Average score across all subjects</t>
        </is>
      </c>
    </row>
    <row r="10" ht="20" customHeight="1">
      <c r="A10" s="17" t="inlineStr">
        <is>
          <t>Average Attendance</t>
        </is>
      </c>
      <c r="B10" s="21">
        <f>AVERAGE('Student Marks'!K4:K63)</f>
        <v/>
      </c>
      <c r="C10" s="19" t="inlineStr">
        <is>
          <t>Percentage of classes attended</t>
        </is>
      </c>
    </row>
    <row r="11" ht="20" customHeight="1">
      <c r="A11" s="17" t="inlineStr">
        <is>
          <t>Average Study Hours</t>
        </is>
      </c>
      <c r="B11" s="20">
        <f>AVERAGE('Student Marks'!L4:L63)</f>
        <v/>
      </c>
      <c r="C11" s="19" t="inlineStr">
        <is>
          <t>Hours per week spent studying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2026-07-29T08:25:51Z</dcterms:created>
  <dcterms:modified xmlns:dcterms="http://purl.org/dc/terms/" xmlns:xsi="http://www.w3.org/2001/XMLSchema-instance" xsi:type="dcterms:W3CDTF">2026-07-29T08:25:51Z</dcterms:modified>
</cp:coreProperties>
</file>